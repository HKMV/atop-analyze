
<file path=[Content_Types].xml><?xml version="1.0" encoding="utf-8"?>
<Types xmlns="http://schemas.openxmlformats.org/package/2006/content-types">
  <Default Extension="rels" ContentType="application/vnd.openxmlformats-package.relationships+xml"/>
  <Default Extension="xml" ContentType="application/xml"/>
  <Default Extension="emf" ContentType="image/x-emf"/>
  <Default Extension="wmf" ContentType="image/x-wmf"/>
  <Default Extension="bmp" ContentType="image/bmp"/>
  <Default Extension="png" ContentType="image/png"/>
  <Default Extension="gif" ContentType="image/gif"/>
  <Default Extension="svg" ContentType="image/svg"/>
  <Default Extension="jpeg" ContentType="image/jpeg"/>
  <Default Extension="tiff" ContentType="image/tiff"/>
  <Default Extension="emz" ContentType="image/x-emz"/>
  <Default Extension="wmz" ContentType="image/x-wmz"/>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worksheets/sheet3.xml" ContentType="application/vnd.openxmlformats-officedocument.spreadsheetml.worksheet+xml"/>
  <Override PartName="/xl/charts/chart2.xml" ContentType="application/vnd.openxmlformats-officedocument.drawingml.chart+xml"/>
  <Override PartName="/xl/drawings/drawing2.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采样数据" sheetId="1" r:id="rId1"/>
    <sheet name="CPU趋势" sheetId="2" r:id="rId5"/>
    <sheet name="内存趋势" sheetId="3" r:id="rId6"/>
  </sheets>
  <calcPr calcId="122211"/>
</workbook>
</file>

<file path=xl/sharedStrings.xml><?xml version="1.0" encoding="utf-8"?>
<sst xmlns="http://schemas.openxmlformats.org/spreadsheetml/2006/main" count="32" uniqueCount="32">
  <si>
    <t>采样序号</t>
  </si>
  <si>
    <t>时间</t>
  </si>
  <si>
    <t>间隔(s)</t>
  </si>
  <si>
    <t>类型</t>
  </si>
  <si>
    <t>分类</t>
  </si>
  <si>
    <t>排名</t>
  </si>
  <si>
    <t>PID</t>
  </si>
  <si>
    <t>进程名</t>
  </si>
  <si>
    <t>CPU%</t>
  </si>
  <si>
    <t>CPU Ticks</t>
  </si>
  <si>
    <t>驻留内存(MB)</t>
  </si>
  <si>
    <t>虚拟内存(MB)</t>
  </si>
  <si>
    <t>Swap(MB)</t>
  </si>
  <si>
    <t>线程数</t>
  </si>
  <si>
    <t>状态</t>
  </si>
  <si>
    <t>命令行</t>
  </si>
  <si>
    <t>2026-04-17 22:56:26</t>
  </si>
  <si>
    <t>启动快照</t>
  </si>
  <si>
    <t>CPU</t>
  </si>
  <si>
    <t>java</t>
  </si>
  <si>
    <t>S</t>
  </si>
  <si>
    <t>/usr/lib/jvm/java-1.8.0-openjdk/bin/java -Xms1g -Xmx1g -Xmn512m -Dnacos.standalone=true -Dnacos.preferHostnameOverIp=true -Dnacos.member.list= -Djava.ext.dirs=/usr/lib/jvm/java-1.8.0-openjdk/jre/lib/ext:/usr/lib/jvm/java-1.8.0-openjdk/lib/ext:/home/nacos/</t>
  </si>
  <si>
    <t>java -Dloader.path=/home/ic-gateway/lib -jar -Xms256m -Xmx1024m -XX:PermSize=256M -XX:MaxPermSize=256M -Dlogging.level.com.alibaba.nacos.client.naming=warn /home/ic-gateway/ic-api-gateway-app-1.0-RELEASE.jar /bin/bash</t>
  </si>
  <si>
    <t>java -Dloader.path=/home/ic-core/lib -jar -Xms256m -Xmx2048m -Dlogging.level.com.alibaba.nacos.client.naming=warn /home/ic-core/ic-api-core-app-1.0-RELEASE.jar</t>
  </si>
  <si>
    <t>内存</t>
  </si>
  <si>
    <t>mysqld</t>
  </si>
  <si>
    <t>java -XX:+HeapDumpOnOutOfMemoryError -XX:HeapDumpPath=./logs/heap_dump.hprof -Xms512m -Xmx1100m -Duser.timezone=Asia/Shanghai -Dfile.encoding=UTF-8 -Djava.security.egd=file:/dev/urandom -jar v-prime-3.2.0.jar</t>
  </si>
  <si>
    <t>2026-04-17 23:06:26</t>
  </si>
  <si>
    <t>正常</t>
  </si>
  <si>
    <t>2026-04-17 23:12:21</t>
  </si>
  <si>
    <t>2026-04-17 23:12:22</t>
  </si>
  <si>
    <t>末次快照</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</si>
</sst>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rgb="FFFFFFFF"/>
      <name val="Calibri"/>
      <family val="2"/>
    </font>
  </fonts>
  <fills count="5">
    <fill>
      <patternFill patternType="none"/>
    </fill>
    <fill>
      <patternFill patternType="gray125"/>
    </fill>
    <fill>
      <patternFill patternType="solid">
        <fgColor rgb="FF4472C4"/>
      </patternFill>
    </fill>
    <fill>
      <patternFill patternType="solid">
        <fgColor rgb="FFFFF2CC"/>
      </patternFill>
    </fill>
    <fill>
      <patternFill patternType="solid">
        <fgColor rgb="FFD6E4F0"/>
      </patternFill>
    </fill>
  </fills>
  <borders count="2">
    <border>
      <left/>
      <right/>
      <top/>
      <bottom/>
      <diagonal/>
    </border>
    <border>
      <left/>
      <right/>
      <top/>
      <bottom style="thin">
        <color rgb="FF2F5496"/>
      </bottom>
      <diagonal/>
    </border>
  </borders>
  <cellStyleXfs count="1">
    <xf numFmtId="0" fontId="0" fillId="0" borderId="0"/>
  </cellStyleXfs>
  <cellXfs count="4">
    <xf numFmtId="0" fontId="0" fillId="0" borderId="0" xfId="0"/>
    <xf numFmtId="0" fontId="1" fillId="2" borderId="1" xfId="0" applyFont="true" applyFill="true" applyBorder="true" applyAlignment="true">
      <alignment horizontal="center" vertical="center"/>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xl/worksheets/sheet3.xml" Type="http://schemas.openxmlformats.org/officeDocument/2006/relationships/worksheet"></Relationship></Relationships>
</file>

<file path=xl/charts/chart1.xml><?xml version="1.0" encoding="utf-8"?>
<chartSpace xmlns="http://schemas.openxmlformats.org/drawingml/2006/chart" xmlns:a="http://schemas.openxmlformats.org/drawingml/2006/main">
  <date1904 val="0"/>
  <lang val="en-US"/>
  <roundedCorners val="0"/>
  <chart>
    <title>
      <tx>
        <rich>
          <a:bodyPr anchorCtr="false" rot="0" spcFirstLastPara="false"/>
          <a:p>
            <a:pPr>
              <a:defRPr b="false" baseline="0" i="false" kern="0" spc="0"/>
            </a:pPr>
            <a:r>
              <a:rPr b="false" baseline="0" i="false" kern="0" spc="0" sz="1400">
                <a:solidFill>
                  <a:srgbClr val="595959"/>
                </a:solidFill>
              </a:rPr>
              <a:t>CPU % 趋势 — Top 进程</a:t>
            </a:r>
            <a:endParaRPr lang="en-US" altLang="en-US"/>
          </a:p>
        </rich>
      </tx>
      <overlay val="0"/>
      <spPr/>
      <txPr>
        <a:bodyPr anchorCtr="false" rot="0" spcFirstLastPara="false"/>
        <a:p/>
      </txPr>
    </title>
    <view3D>
      <rotX val="0"/>
      <rotY val="0"/>
      <rAngAx val="0"/>
      <perspective val="0"/>
    </view3D>
    <floor>
      <thickness val="0"/>
    </floor>
    <sideWall>
      <thickness val="0"/>
    </sideWall>
    <backWall>
      <thickness val="0"/>
    </backWall>
    <plotArea>
      <lineChart>
        <grouping val="standard"/>
        <varyColors val="0"/>
        <ser>
          <idx val="0"/>
          <order val="0"/>
          <tx>
            <strRef>
              <f>'CPU趋势'!B20</f>
            </strRef>
          </tx>
          <spPr>
            <a:ln cap="rnd" w="25400">
              <a:solidFill>
                <a:schemeClr val="accent1"/>
              </a:solidFill>
            </a:ln>
          </spPr>
          <dLbls>
            <showLegendKey val="0"/>
            <showVal val="0"/>
            <showCatName val="0"/>
            <showSerName val="0"/>
            <showPercent val="0"/>
            <showBubbleSize val="1"/>
            <showLeaderLines val="0"/>
          </dLbls>
          <marker>
            <size val="5"/>
            <spPr>
              <a:solidFill>
                <a:schemeClr val="accent1"/>
              </a:solidFill>
              <a:ln w="9252">
                <a:solidFill>
                  <a:schemeClr val="accent1"/>
                </a:solidFill>
              </a:ln>
            </spPr>
          </marker>
          <invertIfNegative val="0"/>
          <cat>
            <strRef>
              <f>'CPU趋势'!A21:A22</f>
            </strRef>
          </cat>
          <val>
            <numRef>
              <f>'CPU趋势'!B21:B22</f>
            </numRef>
          </val>
          <smooth val="0"/>
        </ser>
        <ser>
          <idx val="1"/>
          <order val="1"/>
          <tx>
            <strRef>
              <f>'CPU趋势'!C20</f>
            </strRef>
          </tx>
          <spPr>
            <a:ln cap="rnd" w="25400">
              <a:solidFill>
                <a:schemeClr val="accent2"/>
              </a:solidFill>
            </a:ln>
          </spPr>
          <dLbls>
            <showLegendKey val="0"/>
            <showVal val="0"/>
            <showCatName val="0"/>
            <showSerName val="0"/>
            <showPercent val="0"/>
            <showBubbleSize val="1"/>
            <showLeaderLines val="0"/>
          </dLbls>
          <marker>
            <size val="5"/>
            <spPr>
              <a:solidFill>
                <a:schemeClr val="accent2"/>
              </a:solidFill>
              <a:ln w="9252">
                <a:solidFill>
                  <a:schemeClr val="accent2"/>
                </a:solidFill>
              </a:ln>
            </spPr>
          </marker>
          <invertIfNegative val="0"/>
          <cat>
            <strRef>
              <f>'CPU趋势'!A21:A22</f>
            </strRef>
          </cat>
          <val>
            <numRef>
              <f>'CPU趋势'!C21:C22</f>
            </numRef>
          </val>
          <smooth val="0"/>
        </ser>
        <dLbls>
          <showLegendKey val="0"/>
          <showVal val="0"/>
          <showCatName val="0"/>
          <showSerName val="0"/>
          <showPercent val="0"/>
          <showBubbleSize val="1"/>
          <showLeaderLines val="0"/>
        </dLbls>
        <axId val="100000000"/>
        <axId val="100000001"/>
      </lineChart>
      <catAx>
        <axId val="100000000"/>
        <scaling>
          <orientation val="minMax"/>
        </scaling>
        <delete val="0"/>
        <axPos val="b"/>
        <title>
          <tx>
            <rich>
              <a:bodyPr anchorCtr="false" rot="0" spcFirstLastPara="false"/>
              <a:p>
                <a:pPr>
                  <a:defRPr b="false" baseline="0" i="false" kern="0" spc="0"/>
                </a:pPr>
                <a:r>
                  <a:rPr b="false" baseline="0" i="false" kern="0" spc="0"/>
                  <a:t>时间</a:t>
                </a:r>
                <a:endParaRPr lang="en-US" altLang="en-US"/>
              </a:p>
            </rich>
          </tx>
          <overlay val="0"/>
          <spPr/>
          <txPr>
            <a:bodyPr anchorCtr="false" rot="0" spcFirstLastPara="false"/>
            <a:p/>
          </txPr>
        </title>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6000000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1"/>
        <crosses val="autoZero"/>
        <auto val="1"/>
        <lblAlgn val="ctr"/>
        <lblOffset val="100"/>
        <noMultiLvlLbl val="0"/>
      </catAx>
      <valAx>
        <axId val="100000001"/>
        <scaling>
          <orientation val="minMax"/>
        </scaling>
        <delete val="0"/>
        <axPos val="l"/>
        <title>
          <tx>
            <rich>
              <a:bodyPr anchorCtr="false" rot="-5400000" spcFirstLastPara="false" vert="horz"/>
              <a:p>
                <a:pPr>
                  <a:defRPr b="false" baseline="0" i="false" kern="0" spc="0"/>
                </a:pPr>
                <a:r>
                  <a:rPr b="false" baseline="0" i="false" kern="0" spc="0"/>
                  <a:t>CPU %</a:t>
                </a:r>
                <a:endParaRPr lang="en-US" altLang="en-US"/>
              </a:p>
            </rich>
          </tx>
          <overlay val="0"/>
          <spPr/>
          <txPr>
            <a:bodyPr anchorCtr="false" rot="0" spcFirstLastPara="false"/>
            <a:p/>
          </txPr>
        </title>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6000000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0"/>
        <crosses val="autoZero"/>
        <crossBetween val="between"/>
      </valAx>
    </plotArea>
    <legend>
      <legendPos val="b"/>
      <overlay val="0"/>
    </legend>
    <plotVisOnly val="0"/>
    <dispBlanksAs val="gap"/>
    <showDLblsOverMax val="0"/>
  </chart>
  <spPr>
    <a:solidFill>
      <a:schemeClr val="bg1"/>
    </a:solidFill>
  </spPr>
  <printSettings>
    <pageMargins b="0.75" footer="0.3" header="0.3" l="0.7" r="0.7" t="0.7"/>
  </printSettings>
</chartSpace>
</file>

<file path=xl/charts/chart2.xml><?xml version="1.0" encoding="utf-8"?>
<chartSpace xmlns="http://schemas.openxmlformats.org/drawingml/2006/chart" xmlns:a="http://schemas.openxmlformats.org/drawingml/2006/main">
  <date1904 val="0"/>
  <lang val="en-US"/>
  <roundedCorners val="0"/>
  <chart>
    <title>
      <tx>
        <rich>
          <a:bodyPr anchorCtr="false" rot="0" spcFirstLastPara="false"/>
          <a:p>
            <a:pPr>
              <a:defRPr b="false" baseline="0" i="false" kern="0" spc="0"/>
            </a:pPr>
            <a:r>
              <a:rPr b="false" baseline="0" i="false" kern="0" spc="0" sz="1400">
                <a:solidFill>
                  <a:srgbClr val="595959"/>
                </a:solidFill>
              </a:rPr>
              <a:t>内存趋势 — Top 进程 (驻留内存 MB)</a:t>
            </a:r>
            <a:endParaRPr lang="en-US" altLang="en-US"/>
          </a:p>
        </rich>
      </tx>
      <overlay val="0"/>
      <spPr/>
      <txPr>
        <a:bodyPr anchorCtr="false" rot="0" spcFirstLastPara="false"/>
        <a:p/>
      </txPr>
    </title>
    <view3D>
      <rotX val="0"/>
      <rotY val="0"/>
      <rAngAx val="0"/>
      <perspective val="0"/>
    </view3D>
    <floor>
      <thickness val="0"/>
    </floor>
    <sideWall>
      <thickness val="0"/>
    </sideWall>
    <backWall>
      <thickness val="0"/>
    </backWall>
    <plotArea>
      <lineChart>
        <grouping val="standard"/>
        <varyColors val="0"/>
        <ser>
          <idx val="0"/>
          <order val="0"/>
          <tx>
            <strRef>
              <f>'内存趋势'!B20</f>
            </strRef>
          </tx>
          <spPr>
            <a:ln cap="rnd" w="25400">
              <a:solidFill>
                <a:schemeClr val="accent1"/>
              </a:solidFill>
            </a:ln>
          </spPr>
          <dLbls>
            <showLegendKey val="0"/>
            <showVal val="0"/>
            <showCatName val="0"/>
            <showSerName val="0"/>
            <showPercent val="0"/>
            <showBubbleSize val="1"/>
            <showLeaderLines val="0"/>
          </dLbls>
          <marker>
            <size val="5"/>
            <spPr>
              <a:solidFill>
                <a:schemeClr val="accent1"/>
              </a:solidFill>
              <a:ln w="9252">
                <a:solidFill>
                  <a:schemeClr val="accent1"/>
                </a:solidFill>
              </a:ln>
            </spPr>
          </marker>
          <invertIfNegative val="0"/>
          <cat>
            <strRef>
              <f>'内存趋势'!A21:A22</f>
            </strRef>
          </cat>
          <val>
            <numRef>
              <f>'内存趋势'!B21:B22</f>
            </numRef>
          </val>
          <smooth val="0"/>
        </ser>
        <ser>
          <idx val="1"/>
          <order val="1"/>
          <tx>
            <strRef>
              <f>'内存趋势'!C20</f>
            </strRef>
          </tx>
          <spPr>
            <a:ln cap="rnd" w="25400">
              <a:solidFill>
                <a:schemeClr val="accent2"/>
              </a:solidFill>
            </a:ln>
          </spPr>
          <dLbls>
            <showLegendKey val="0"/>
            <showVal val="0"/>
            <showCatName val="0"/>
            <showSerName val="0"/>
            <showPercent val="0"/>
            <showBubbleSize val="1"/>
            <showLeaderLines val="0"/>
          </dLbls>
          <marker>
            <size val="5"/>
            <spPr>
              <a:solidFill>
                <a:schemeClr val="accent2"/>
              </a:solidFill>
              <a:ln w="9252">
                <a:solidFill>
                  <a:schemeClr val="accent2"/>
                </a:solidFill>
              </a:ln>
            </spPr>
          </marker>
          <invertIfNegative val="0"/>
          <cat>
            <strRef>
              <f>'内存趋势'!A21:A22</f>
            </strRef>
          </cat>
          <val>
            <numRef>
              <f>'内存趋势'!C21:C22</f>
            </numRef>
          </val>
          <smooth val="0"/>
        </ser>
        <dLbls>
          <showLegendKey val="0"/>
          <showVal val="0"/>
          <showCatName val="0"/>
          <showSerName val="0"/>
          <showPercent val="0"/>
          <showBubbleSize val="1"/>
          <showLeaderLines val="0"/>
        </dLbls>
        <axId val="100000000"/>
        <axId val="100000001"/>
      </lineChart>
      <catAx>
        <axId val="100000000"/>
        <scaling>
          <orientation val="minMax"/>
        </scaling>
        <delete val="0"/>
        <axPos val="b"/>
        <title>
          <tx>
            <rich>
              <a:bodyPr anchorCtr="false" rot="0" spcFirstLastPara="false"/>
              <a:p>
                <a:pPr>
                  <a:defRPr b="false" baseline="0" i="false" kern="0" spc="0"/>
                </a:pPr>
                <a:r>
                  <a:rPr b="false" baseline="0" i="false" kern="0" spc="0"/>
                  <a:t>时间</a:t>
                </a:r>
                <a:endParaRPr lang="en-US" altLang="en-US"/>
              </a:p>
            </rich>
          </tx>
          <overlay val="0"/>
          <spPr/>
          <txPr>
            <a:bodyPr anchorCtr="false" rot="0" spcFirstLastPara="false"/>
            <a:p/>
          </txPr>
        </title>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6000000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1"/>
        <crosses val="autoZero"/>
        <auto val="1"/>
        <lblAlgn val="ctr"/>
        <lblOffset val="100"/>
        <noMultiLvlLbl val="0"/>
      </catAx>
      <valAx>
        <axId val="100000001"/>
        <scaling>
          <orientation val="minMax"/>
        </scaling>
        <delete val="0"/>
        <axPos val="l"/>
        <title>
          <tx>
            <rich>
              <a:bodyPr anchorCtr="false" rot="-5400000" spcFirstLastPara="false" vert="horz"/>
              <a:p>
                <a:pPr>
                  <a:defRPr b="false" baseline="0" i="false" kern="0" spc="0"/>
                </a:pPr>
                <a:r>
                  <a:rPr b="false" baseline="0" i="false" kern="0" spc="0"/>
                  <a:t>驻留内存 (MB)</a:t>
                </a:r>
                <a:endParaRPr lang="en-US" altLang="en-US"/>
              </a:p>
            </rich>
          </tx>
          <overlay val="0"/>
          <spPr/>
          <txPr>
            <a:bodyPr anchorCtr="false" rot="0" spcFirstLastPara="false"/>
            <a:p/>
          </txPr>
        </title>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6000000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0"/>
        <crosses val="autoZero"/>
        <crossBetween val="between"/>
      </valAx>
    </plotArea>
    <legend>
      <legendPos val="b"/>
      <overlay val="0"/>
    </legend>
    <plotVisOnly val="0"/>
    <dispBlanksAs val="gap"/>
    <showDLblsOverMax val="0"/>
  </chart>
  <spPr>
    <a:solidFill>
      <a:schemeClr val="bg1"/>
    </a:solidFill>
  </spPr>
  <printSettings>
    <pageMargins b="0.75" footer="0.3" header="0.3" l="0.7" r="0.7" t="0.7"/>
  </printSettings>
</chartSpace>
</file>

<file path=xl/drawings/_rels/drawing1.xml.rels><?xml version="1.0" encoding="UTF-8"?>
<Relationships xmlns="http://schemas.openxmlformats.org/package/2006/relationships"><Relationship Id="rId1" Target="../charts/chart1.xml" Type="http://schemas.openxmlformats.org/officeDocument/2006/relationships/chart"></Relationship></Relationships>
</file>

<file path=xl/drawings/_rels/drawing2.xml.rels><?xml version="1.0" encoding="UTF-8"?>
<Relationships xmlns="http://schemas.openxmlformats.org/package/2006/relationships"><Relationship Id="rId1" Target="../charts/chart2.xml" Type="http://schemas.openxmlformats.org/officeDocument/2006/relationships/chart"></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0</xdr:col>
      <xdr:colOff>0</xdr:colOff>
      <xdr:row>0</xdr:row>
      <xdr:rowOff>0</xdr:rowOff>
    </xdr:from>
    <xdr:to>
      <xdr:col>12</xdr:col>
      <xdr:colOff>285750</xdr:colOff>
      <xdr:row>24</xdr:row>
      <xdr:rowOff>0</xdr:rowOff>
    </xdr:to>
    <xdr:graphicFrame macro="">
      <xdr:nvGraphicFramePr>
        <xdr:cNvPr id="2" name="Chart 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false" fPrintsWithSheet="true"/>
  </xdr:twoCellAnchor>
</xdr:wsDr>
</file>

<file path=xl/drawings/drawing2.xml><?xml version="1.0" encoding="utf-8"?>
<xdr:wsDr xmlns="http://schemas.openxmlformats.org/drawingml/2006/spreadsheetDrawing" xmlns:a="http://schemas.openxmlformats.org/drawingml/2006/main" xmlns:xdr="http://schemas.openxmlformats.org/drawingml/2006/spreadsheetDrawing">
  <xdr:twoCellAnchor>
    <xdr:from>
      <xdr:col>0</xdr:col>
      <xdr:colOff>0</xdr:colOff>
      <xdr:row>0</xdr:row>
      <xdr:rowOff>0</xdr:rowOff>
    </xdr:from>
    <xdr:to>
      <xdr:col>12</xdr:col>
      <xdr:colOff>285750</xdr:colOff>
      <xdr:row>24</xdr:row>
      <xdr:rowOff>0</xdr:rowOff>
    </xdr:to>
    <xdr:graphicFrame macro="">
      <xdr:nvGraphicFramePr>
        <xdr:cNvPr id="2" name="Chart 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fals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drawings/drawing1.xml" Type="http://schemas.openxmlformats.org/officeDocument/2006/relationships/drawing"></Relationship></Relationships>
</file>

<file path=xl/worksheets/_rels/sheet3.xml.rels><?xml version="1.0" encoding="UTF-8"?>
<Relationships xmlns="http://schemas.openxmlformats.org/package/2006/relationships"><Relationship Id="rId1" Target="../drawings/drawing2.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0"/>
    <col customWidth="true" max="2" min="2" width="20"/>
    <col customWidth="true" max="3" min="3" width="10"/>
    <col customWidth="true" max="4" min="4" width="12"/>
    <col customWidth="true" max="5" min="5" width="8"/>
    <col customWidth="true" max="6" min="6" width="6"/>
    <col customWidth="true" max="7" min="7" width="10"/>
    <col customWidth="true" max="8" min="8" width="18"/>
    <col customWidth="true" max="9" min="9" width="10"/>
    <col customWidth="true" max="12" min="10" width="14"/>
    <col customWidth="true" max="13" min="13" width="12"/>
    <col customWidth="true" max="14" min="14" width="8"/>
    <col customWidth="true" max="15" min="15" width="6"/>
    <col customWidth="true" max="16" min="16" width="5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2">
        <v>1</v>
      </c>
      <c r="B2" s="2" t="s">
        <v>16</v>
      </c>
      <c r="C2" s="2">
        <v>25795325</v>
      </c>
      <c r="D2" s="2" t="s">
        <v>17</v>
      </c>
      <c r="E2" s="2" t="s">
        <v>18</v>
      </c>
      <c r="F2" s="2">
        <v>1</v>
      </c>
      <c r="G2" s="2">
        <v>288710</v>
      </c>
      <c r="H2" s="2" t="s">
        <v>19</v>
      </c>
      <c r="I2" s="2">
        <v>7.305785602623732</v>
      </c>
      <c r="J2" s="2">
        <v>188455114</v>
      </c>
      <c r="K2" s="2">
        <v>1412.890625</v>
      </c>
      <c r="L2" s="2">
        <v>15945.05078125</v>
      </c>
      <c r="M2" s="2">
        <v>462.5625</v>
      </c>
      <c r="N2" s="2">
        <v>850</v>
      </c>
      <c r="O2" s="2" t="s">
        <v>20</v>
      </c>
      <c r="P2" s="2" t="s">
        <v>21</v>
      </c>
    </row>
    <row r="3">
      <c r="A3" s="2">
        <v>1</v>
      </c>
      <c r="B3" s="2" t="s">
        <v>16</v>
      </c>
      <c r="C3" s="2">
        <v>25795325</v>
      </c>
      <c r="D3" s="2" t="s">
        <v>17</v>
      </c>
      <c r="E3" s="2" t="s">
        <v>18</v>
      </c>
      <c r="F3" s="2">
        <v>2</v>
      </c>
      <c r="G3" s="2">
        <v>292128</v>
      </c>
      <c r="H3" s="2" t="s">
        <v>19</v>
      </c>
      <c r="I3" s="2">
        <v>2.673888970191304</v>
      </c>
      <c r="J3" s="2">
        <v>68973835</v>
      </c>
      <c r="K3" s="2">
        <v>552.21875</v>
      </c>
      <c r="L3" s="2">
        <v>15267.6953125</v>
      </c>
      <c r="M3" s="2">
        <v>679.875</v>
      </c>
      <c r="N3" s="2">
        <v>244</v>
      </c>
      <c r="O3" s="2" t="s">
        <v>20</v>
      </c>
      <c r="P3" s="2" t="s">
        <v>22</v>
      </c>
    </row>
    <row r="4">
      <c r="A4" s="2">
        <v>1</v>
      </c>
      <c r="B4" s="2" t="s">
        <v>16</v>
      </c>
      <c r="C4" s="2">
        <v>25795325</v>
      </c>
      <c r="D4" s="2" t="s">
        <v>17</v>
      </c>
      <c r="E4" s="2" t="s">
        <v>18</v>
      </c>
      <c r="F4" s="2">
        <v>3</v>
      </c>
      <c r="G4" s="2">
        <v>294468</v>
      </c>
      <c r="H4" s="2" t="s">
        <v>19</v>
      </c>
      <c r="I4" s="2">
        <v>2.427939830182407</v>
      </c>
      <c r="J4" s="2">
        <v>62629497</v>
      </c>
      <c r="K4" s="2">
        <v>802.26171875</v>
      </c>
      <c r="L4" s="2">
        <v>16785.3828125</v>
      </c>
      <c r="M4" s="2">
        <v>1001.8125</v>
      </c>
      <c r="N4" s="2">
        <v>478</v>
      </c>
      <c r="O4" s="2" t="s">
        <v>20</v>
      </c>
      <c r="P4" s="2" t="s">
        <v>23</v>
      </c>
    </row>
    <row r="5">
      <c r="A5" s="2">
        <v>1</v>
      </c>
      <c r="B5" s="2" t="s">
        <v>16</v>
      </c>
      <c r="C5" s="2">
        <v>25795325</v>
      </c>
      <c r="D5" s="2" t="s">
        <v>17</v>
      </c>
      <c r="E5" s="2" t="s">
        <v>24</v>
      </c>
      <c r="F5" s="2">
        <v>1</v>
      </c>
      <c r="G5" s="2">
        <v>3271375</v>
      </c>
      <c r="H5" s="2" t="s">
        <v>25</v>
      </c>
      <c r="I5" s="2">
        <v>0.11528201331055142</v>
      </c>
      <c r="J5" s="2">
        <v>2973737</v>
      </c>
      <c r="K5" s="2">
        <v>11605.5390625</v>
      </c>
      <c r="L5" s="2">
        <v>23734.15234375</v>
      </c>
      <c r="M5" s="2">
        <v>0</v>
      </c>
      <c r="N5" s="2">
        <v>103</v>
      </c>
      <c r="O5" s="2" t="s">
        <v>20</v>
      </c>
      <c r="P5" s="2" t="s">
        <v>25</v>
      </c>
    </row>
    <row r="6">
      <c r="A6" s="2">
        <v>1</v>
      </c>
      <c r="B6" s="2" t="s">
        <v>16</v>
      </c>
      <c r="C6" s="2">
        <v>25795325</v>
      </c>
      <c r="D6" s="2" t="s">
        <v>17</v>
      </c>
      <c r="E6" s="2" t="s">
        <v>24</v>
      </c>
      <c r="F6" s="2">
        <v>2</v>
      </c>
      <c r="G6" s="2">
        <v>288710</v>
      </c>
      <c r="H6" s="2" t="s">
        <v>19</v>
      </c>
      <c r="I6" s="2">
        <v>7.305785602623732</v>
      </c>
      <c r="J6" s="2">
        <v>188455114</v>
      </c>
      <c r="K6" s="2">
        <v>1412.890625</v>
      </c>
      <c r="L6" s="2">
        <v>15945.05078125</v>
      </c>
      <c r="M6" s="2">
        <v>462.5625</v>
      </c>
      <c r="N6" s="2">
        <v>850</v>
      </c>
      <c r="O6" s="2" t="s">
        <v>20</v>
      </c>
      <c r="P6" s="2" t="s">
        <v>21</v>
      </c>
    </row>
    <row r="7">
      <c r="A7" s="2">
        <v>1</v>
      </c>
      <c r="B7" s="2" t="s">
        <v>16</v>
      </c>
      <c r="C7" s="2">
        <v>25795325</v>
      </c>
      <c r="D7" s="2" t="s">
        <v>17</v>
      </c>
      <c r="E7" s="2" t="s">
        <v>24</v>
      </c>
      <c r="F7" s="2">
        <v>3</v>
      </c>
      <c r="G7" s="2">
        <v>1876137</v>
      </c>
      <c r="H7" s="2" t="s">
        <v>19</v>
      </c>
      <c r="I7" s="2">
        <v>0.6328319569534402</v>
      </c>
      <c r="J7" s="2">
        <v>16324106</v>
      </c>
      <c r="K7" s="2">
        <v>1215.08203125</v>
      </c>
      <c r="L7" s="2">
        <v>15035.234375</v>
      </c>
      <c r="M7" s="2">
        <v>100.5</v>
      </c>
      <c r="N7" s="2">
        <v>150</v>
      </c>
      <c r="O7" s="2" t="s">
        <v>20</v>
      </c>
      <c r="P7" s="2" t="s">
        <v>26</v>
      </c>
    </row>
    <row r="8">
      <c r="A8" s="3">
        <v>2</v>
      </c>
      <c r="B8" s="3" t="s">
        <v>27</v>
      </c>
      <c r="C8" s="3">
        <v>600</v>
      </c>
      <c r="D8" s="3" t="s">
        <v>28</v>
      </c>
      <c r="E8" s="3" t="s">
        <v>18</v>
      </c>
      <c r="F8" s="3">
        <v>1</v>
      </c>
      <c r="G8" s="3">
        <v>3271375</v>
      </c>
      <c r="H8" s="3" t="s">
        <v>25</v>
      </c>
      <c r="I8" s="3">
        <v>100.61333333333333</v>
      </c>
      <c r="J8" s="3">
        <v>60368</v>
      </c>
      <c r="K8" s="3">
        <v>11606.1015625</v>
      </c>
      <c r="L8" s="3">
        <v>23734.15234375</v>
      </c>
      <c r="M8" s="3">
        <v>0</v>
      </c>
      <c r="N8" s="3">
        <v>103</v>
      </c>
      <c r="O8" s="3" t="s">
        <v>20</v>
      </c>
      <c r="P8" s="3" t="s">
        <v>25</v>
      </c>
    </row>
    <row r="9">
      <c r="A9">
        <v>2</v>
      </c>
      <c r="B9" t="s">
        <v>27</v>
      </c>
      <c r="C9">
        <v>600</v>
      </c>
      <c r="D9" t="s">
        <v>28</v>
      </c>
      <c r="E9" t="s">
        <v>18</v>
      </c>
      <c r="F9">
        <v>2</v>
      </c>
      <c r="G9">
        <v>288710</v>
      </c>
      <c r="H9" t="s">
        <v>19</v>
      </c>
      <c r="I9">
        <v>6.418333333333333</v>
      </c>
      <c r="J9">
        <v>3851</v>
      </c>
      <c r="K9">
        <v>1412.890625</v>
      </c>
      <c r="L9">
        <v>15945.05078125</v>
      </c>
      <c r="M9">
        <v>462.5625</v>
      </c>
      <c r="N9">
        <v>850</v>
      </c>
      <c r="O9" t="s">
        <v>20</v>
      </c>
      <c r="P9" t="s">
        <v>21</v>
      </c>
    </row>
    <row r="10">
      <c r="A10" s="3">
        <v>2</v>
      </c>
      <c r="B10" s="3" t="s">
        <v>27</v>
      </c>
      <c r="C10" s="3">
        <v>600</v>
      </c>
      <c r="D10" s="3" t="s">
        <v>28</v>
      </c>
      <c r="E10" s="3" t="s">
        <v>18</v>
      </c>
      <c r="F10" s="3">
        <v>3</v>
      </c>
      <c r="G10" s="3">
        <v>292128</v>
      </c>
      <c r="H10" s="3" t="s">
        <v>19</v>
      </c>
      <c r="I10" s="3">
        <v>3.72</v>
      </c>
      <c r="J10" s="3">
        <v>2232</v>
      </c>
      <c r="K10" s="3">
        <v>552.21875</v>
      </c>
      <c r="L10" s="3">
        <v>15267.6953125</v>
      </c>
      <c r="M10" s="3">
        <v>679.875</v>
      </c>
      <c r="N10" s="3">
        <v>244</v>
      </c>
      <c r="O10" s="3" t="s">
        <v>20</v>
      </c>
      <c r="P10" s="3" t="s">
        <v>22</v>
      </c>
    </row>
    <row r="11">
      <c r="A11">
        <v>2</v>
      </c>
      <c r="B11" t="s">
        <v>27</v>
      </c>
      <c r="C11">
        <v>600</v>
      </c>
      <c r="D11" t="s">
        <v>28</v>
      </c>
      <c r="E11" t="s">
        <v>24</v>
      </c>
      <c r="F11">
        <v>1</v>
      </c>
      <c r="G11">
        <v>3271375</v>
      </c>
      <c r="H11" t="s">
        <v>25</v>
      </c>
      <c r="I11">
        <v>100.61333333333333</v>
      </c>
      <c r="J11">
        <v>60368</v>
      </c>
      <c r="K11">
        <v>11606.1015625</v>
      </c>
      <c r="L11">
        <v>23734.15234375</v>
      </c>
      <c r="M11">
        <v>0</v>
      </c>
      <c r="N11">
        <v>103</v>
      </c>
      <c r="O11" t="s">
        <v>20</v>
      </c>
      <c r="P11" t="s">
        <v>25</v>
      </c>
    </row>
    <row r="12">
      <c r="A12" s="3">
        <v>2</v>
      </c>
      <c r="B12" s="3" t="s">
        <v>27</v>
      </c>
      <c r="C12" s="3">
        <v>600</v>
      </c>
      <c r="D12" s="3" t="s">
        <v>28</v>
      </c>
      <c r="E12" s="3" t="s">
        <v>24</v>
      </c>
      <c r="F12" s="3">
        <v>2</v>
      </c>
      <c r="G12" s="3">
        <v>288710</v>
      </c>
      <c r="H12" s="3" t="s">
        <v>19</v>
      </c>
      <c r="I12" s="3">
        <v>6.418333333333333</v>
      </c>
      <c r="J12" s="3">
        <v>3851</v>
      </c>
      <c r="K12" s="3">
        <v>1412.890625</v>
      </c>
      <c r="L12" s="3">
        <v>15945.05078125</v>
      </c>
      <c r="M12" s="3">
        <v>462.5625</v>
      </c>
      <c r="N12" s="3">
        <v>850</v>
      </c>
      <c r="O12" s="3" t="s">
        <v>20</v>
      </c>
      <c r="P12" s="3" t="s">
        <v>21</v>
      </c>
    </row>
    <row r="13">
      <c r="A13">
        <v>2</v>
      </c>
      <c r="B13" t="s">
        <v>27</v>
      </c>
      <c r="C13">
        <v>600</v>
      </c>
      <c r="D13" t="s">
        <v>28</v>
      </c>
      <c r="E13" t="s">
        <v>24</v>
      </c>
      <c r="F13">
        <v>3</v>
      </c>
      <c r="G13">
        <v>1876137</v>
      </c>
      <c r="H13" t="s">
        <v>19</v>
      </c>
      <c r="I13">
        <v>1.79</v>
      </c>
      <c r="J13">
        <v>1074</v>
      </c>
      <c r="K13">
        <v>1206.578125</v>
      </c>
      <c r="L13">
        <v>15035.234375</v>
      </c>
      <c r="M13">
        <v>100.5</v>
      </c>
      <c r="N13">
        <v>144</v>
      </c>
      <c r="O13" t="s">
        <v>20</v>
      </c>
      <c r="P13" t="s">
        <v>26</v>
      </c>
    </row>
    <row r="14">
      <c r="A14" s="3">
        <v>3</v>
      </c>
      <c r="B14" s="3" t="s">
        <v>29</v>
      </c>
      <c r="C14" s="3">
        <v>355</v>
      </c>
      <c r="D14" s="3" t="s">
        <v>28</v>
      </c>
      <c r="E14" s="3" t="s">
        <v>18</v>
      </c>
      <c r="F14" s="3">
        <v>1</v>
      </c>
      <c r="G14" s="3">
        <v>3271375</v>
      </c>
      <c r="H14" s="3" t="s">
        <v>25</v>
      </c>
      <c r="I14" s="3">
        <v>100.85070422535212</v>
      </c>
      <c r="J14" s="3">
        <v>35802</v>
      </c>
      <c r="K14" s="3">
        <v>11606.1015625</v>
      </c>
      <c r="L14" s="3">
        <v>23734.15234375</v>
      </c>
      <c r="M14" s="3">
        <v>0</v>
      </c>
      <c r="N14" s="3">
        <v>103</v>
      </c>
      <c r="O14" s="3" t="s">
        <v>20</v>
      </c>
      <c r="P14" s="3" t="s">
        <v>25</v>
      </c>
    </row>
    <row r="15">
      <c r="A15">
        <v>3</v>
      </c>
      <c r="B15" t="s">
        <v>29</v>
      </c>
      <c r="C15">
        <v>355</v>
      </c>
      <c r="D15" t="s">
        <v>28</v>
      </c>
      <c r="E15" t="s">
        <v>18</v>
      </c>
      <c r="F15">
        <v>2</v>
      </c>
      <c r="G15">
        <v>288710</v>
      </c>
      <c r="H15" t="s">
        <v>19</v>
      </c>
      <c r="I15">
        <v>6.48169014084507</v>
      </c>
      <c r="J15">
        <v>2301</v>
      </c>
      <c r="K15">
        <v>1412.890625</v>
      </c>
      <c r="L15">
        <v>15945.05078125</v>
      </c>
      <c r="M15">
        <v>462.5625</v>
      </c>
      <c r="N15">
        <v>844</v>
      </c>
      <c r="O15" t="s">
        <v>20</v>
      </c>
      <c r="P15" t="s">
        <v>21</v>
      </c>
    </row>
    <row r="16">
      <c r="A16" s="3">
        <v>3</v>
      </c>
      <c r="B16" s="3" t="s">
        <v>29</v>
      </c>
      <c r="C16" s="3">
        <v>355</v>
      </c>
      <c r="D16" s="3" t="s">
        <v>28</v>
      </c>
      <c r="E16" s="3" t="s">
        <v>18</v>
      </c>
      <c r="F16" s="3">
        <v>3</v>
      </c>
      <c r="G16" s="3">
        <v>292128</v>
      </c>
      <c r="H16" s="3" t="s">
        <v>19</v>
      </c>
      <c r="I16" s="3">
        <v>3.692957746478873</v>
      </c>
      <c r="J16" s="3">
        <v>1311</v>
      </c>
      <c r="K16" s="3">
        <v>552.21875</v>
      </c>
      <c r="L16" s="3">
        <v>15267.6953125</v>
      </c>
      <c r="M16" s="3">
        <v>679.875</v>
      </c>
      <c r="N16" s="3">
        <v>244</v>
      </c>
      <c r="O16" s="3" t="s">
        <v>20</v>
      </c>
      <c r="P16" s="3" t="s">
        <v>22</v>
      </c>
    </row>
    <row r="17">
      <c r="A17">
        <v>3</v>
      </c>
      <c r="B17" t="s">
        <v>29</v>
      </c>
      <c r="C17">
        <v>355</v>
      </c>
      <c r="D17" t="s">
        <v>28</v>
      </c>
      <c r="E17" t="s">
        <v>24</v>
      </c>
      <c r="F17">
        <v>1</v>
      </c>
      <c r="G17">
        <v>3271375</v>
      </c>
      <c r="H17" t="s">
        <v>25</v>
      </c>
      <c r="I17">
        <v>100.85070422535212</v>
      </c>
      <c r="J17">
        <v>35802</v>
      </c>
      <c r="K17">
        <v>11606.1015625</v>
      </c>
      <c r="L17">
        <v>23734.15234375</v>
      </c>
      <c r="M17">
        <v>0</v>
      </c>
      <c r="N17">
        <v>103</v>
      </c>
      <c r="O17" t="s">
        <v>20</v>
      </c>
      <c r="P17" t="s">
        <v>25</v>
      </c>
    </row>
    <row r="18">
      <c r="A18" s="3">
        <v>3</v>
      </c>
      <c r="B18" s="3" t="s">
        <v>29</v>
      </c>
      <c r="C18" s="3">
        <v>355</v>
      </c>
      <c r="D18" s="3" t="s">
        <v>28</v>
      </c>
      <c r="E18" s="3" t="s">
        <v>24</v>
      </c>
      <c r="F18" s="3">
        <v>2</v>
      </c>
      <c r="G18" s="3">
        <v>288710</v>
      </c>
      <c r="H18" s="3" t="s">
        <v>19</v>
      </c>
      <c r="I18" s="3">
        <v>6.48169014084507</v>
      </c>
      <c r="J18" s="3">
        <v>2301</v>
      </c>
      <c r="K18" s="3">
        <v>1412.890625</v>
      </c>
      <c r="L18" s="3">
        <v>15945.05078125</v>
      </c>
      <c r="M18" s="3">
        <v>462.5625</v>
      </c>
      <c r="N18" s="3">
        <v>844</v>
      </c>
      <c r="O18" s="3" t="s">
        <v>20</v>
      </c>
      <c r="P18" s="3" t="s">
        <v>21</v>
      </c>
    </row>
    <row r="19">
      <c r="A19">
        <v>3</v>
      </c>
      <c r="B19" t="s">
        <v>29</v>
      </c>
      <c r="C19">
        <v>355</v>
      </c>
      <c r="D19" t="s">
        <v>28</v>
      </c>
      <c r="E19" t="s">
        <v>24</v>
      </c>
      <c r="F19">
        <v>3</v>
      </c>
      <c r="G19">
        <v>1876137</v>
      </c>
      <c r="H19" t="s">
        <v>19</v>
      </c>
      <c r="I19">
        <v>1.963380281690141</v>
      </c>
      <c r="J19">
        <v>697</v>
      </c>
      <c r="K19">
        <v>1194.40625</v>
      </c>
      <c r="L19">
        <v>15035.234375</v>
      </c>
      <c r="M19">
        <v>100.5</v>
      </c>
      <c r="N19">
        <v>145</v>
      </c>
      <c r="O19" t="s">
        <v>20</v>
      </c>
      <c r="P19" t="s">
        <v>26</v>
      </c>
    </row>
    <row r="20">
      <c r="A20" s="2">
        <v>4</v>
      </c>
      <c r="B20" s="2" t="s">
        <v>30</v>
      </c>
      <c r="C20" s="2">
        <v>25796281</v>
      </c>
      <c r="D20" s="2" t="s">
        <v>31</v>
      </c>
      <c r="E20" s="2" t="s">
        <v>18</v>
      </c>
      <c r="F20" s="2">
        <v>1</v>
      </c>
      <c r="G20" s="2">
        <v>288710</v>
      </c>
      <c r="H20" s="2" t="s">
        <v>19</v>
      </c>
      <c r="I20" s="2">
        <v>7.305753337079868</v>
      </c>
      <c r="J20" s="2">
        <v>188461266</v>
      </c>
      <c r="K20" s="2">
        <v>1412.890625</v>
      </c>
      <c r="L20" s="2">
        <v>15945.05078125</v>
      </c>
      <c r="M20" s="2">
        <v>462.5625</v>
      </c>
      <c r="N20" s="2">
        <v>844</v>
      </c>
      <c r="O20" s="2" t="s">
        <v>20</v>
      </c>
      <c r="P20" s="2" t="s">
        <v>21</v>
      </c>
    </row>
    <row r="21">
      <c r="A21" s="2">
        <v>4</v>
      </c>
      <c r="B21" s="2" t="s">
        <v>30</v>
      </c>
      <c r="C21" s="2">
        <v>25796281</v>
      </c>
      <c r="D21" s="2" t="s">
        <v>31</v>
      </c>
      <c r="E21" s="2" t="s">
        <v>18</v>
      </c>
      <c r="F21" s="2">
        <v>2</v>
      </c>
      <c r="G21" s="2">
        <v>292128</v>
      </c>
      <c r="H21" s="2" t="s">
        <v>19</v>
      </c>
      <c r="I21" s="2">
        <v>2.6739272998305452</v>
      </c>
      <c r="J21" s="2">
        <v>68977380</v>
      </c>
      <c r="K21" s="2">
        <v>552.21875</v>
      </c>
      <c r="L21" s="2">
        <v>15267.6953125</v>
      </c>
      <c r="M21" s="2">
        <v>679.875</v>
      </c>
      <c r="N21" s="2">
        <v>244</v>
      </c>
      <c r="O21" s="2" t="s">
        <v>20</v>
      </c>
      <c r="P21" s="2" t="s">
        <v>22</v>
      </c>
    </row>
    <row r="22">
      <c r="A22" s="2">
        <v>4</v>
      </c>
      <c r="B22" s="2" t="s">
        <v>30</v>
      </c>
      <c r="C22" s="2">
        <v>25796281</v>
      </c>
      <c r="D22" s="2" t="s">
        <v>31</v>
      </c>
      <c r="E22" s="2" t="s">
        <v>18</v>
      </c>
      <c r="F22" s="2">
        <v>3</v>
      </c>
      <c r="G22" s="2">
        <v>294468</v>
      </c>
      <c r="H22" s="2" t="s">
        <v>19</v>
      </c>
      <c r="I22" s="2">
        <v>2.4279616119858516</v>
      </c>
      <c r="J22" s="2">
        <v>62632380</v>
      </c>
      <c r="K22" s="2">
        <v>822.3984375</v>
      </c>
      <c r="L22" s="2">
        <v>16785.3828125</v>
      </c>
      <c r="M22" s="2">
        <v>1001.8125</v>
      </c>
      <c r="N22" s="2">
        <v>478</v>
      </c>
      <c r="O22" s="2" t="s">
        <v>20</v>
      </c>
      <c r="P22" s="2" t="s">
        <v>23</v>
      </c>
    </row>
    <row r="23">
      <c r="A23" s="2">
        <v>4</v>
      </c>
      <c r="B23" s="2" t="s">
        <v>30</v>
      </c>
      <c r="C23" s="2">
        <v>25796281</v>
      </c>
      <c r="D23" s="2" t="s">
        <v>31</v>
      </c>
      <c r="E23" s="2" t="s">
        <v>24</v>
      </c>
      <c r="F23" s="2">
        <v>1</v>
      </c>
      <c r="G23" s="2">
        <v>3271375</v>
      </c>
      <c r="H23" s="2" t="s">
        <v>25</v>
      </c>
      <c r="I23" s="2">
        <v>0.1190074259153868</v>
      </c>
      <c r="J23" s="2">
        <v>3069949</v>
      </c>
      <c r="K23" s="2">
        <v>11606.1015625</v>
      </c>
      <c r="L23" s="2">
        <v>23734.15234375</v>
      </c>
      <c r="M23" s="2">
        <v>0</v>
      </c>
      <c r="N23" s="2">
        <v>103</v>
      </c>
      <c r="O23" s="2" t="s">
        <v>20</v>
      </c>
      <c r="P23" s="2" t="s">
        <v>25</v>
      </c>
    </row>
    <row r="24">
      <c r="A24" s="2">
        <v>4</v>
      </c>
      <c r="B24" s="2" t="s">
        <v>30</v>
      </c>
      <c r="C24" s="2">
        <v>25796281</v>
      </c>
      <c r="D24" s="2" t="s">
        <v>31</v>
      </c>
      <c r="E24" s="2" t="s">
        <v>24</v>
      </c>
      <c r="F24" s="2">
        <v>2</v>
      </c>
      <c r="G24" s="2">
        <v>288710</v>
      </c>
      <c r="H24" s="2" t="s">
        <v>19</v>
      </c>
      <c r="I24" s="2">
        <v>7.305753337079868</v>
      </c>
      <c r="J24" s="2">
        <v>188461266</v>
      </c>
      <c r="K24" s="2">
        <v>1412.890625</v>
      </c>
      <c r="L24" s="2">
        <v>15945.05078125</v>
      </c>
      <c r="M24" s="2">
        <v>462.5625</v>
      </c>
      <c r="N24" s="2">
        <v>844</v>
      </c>
      <c r="O24" s="2" t="s">
        <v>20</v>
      </c>
      <c r="P24" s="2" t="s">
        <v>21</v>
      </c>
    </row>
    <row r="25">
      <c r="A25" s="2">
        <v>4</v>
      </c>
      <c r="B25" s="2" t="s">
        <v>30</v>
      </c>
      <c r="C25" s="2">
        <v>25796281</v>
      </c>
      <c r="D25" s="2" t="s">
        <v>31</v>
      </c>
      <c r="E25" s="2" t="s">
        <v>24</v>
      </c>
      <c r="F25" s="2">
        <v>3</v>
      </c>
      <c r="G25" s="2">
        <v>1876137</v>
      </c>
      <c r="H25" s="2" t="s">
        <v>19</v>
      </c>
      <c r="I25" s="2">
        <v>0.632877235288296</v>
      </c>
      <c r="J25" s="2">
        <v>16325879</v>
      </c>
      <c r="K25" s="2">
        <v>1194.40625</v>
      </c>
      <c r="L25" s="2">
        <v>15035.234375</v>
      </c>
      <c r="M25" s="2">
        <v>100.5</v>
      </c>
      <c r="N25" s="2">
        <v>145</v>
      </c>
      <c r="O25" s="2" t="s">
        <v>20</v>
      </c>
      <c r="P25" s="2" t="s">
        <v>26</v>
      </c>
    </row>
  </sheetData>
</worksheet>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1" min="1" width="20"/>
    <col customWidth="true" max="3" min="2" width="14"/>
  </cols>
  <sheetData>
    <row r="1"/>
    <row r="2"/>
    <row r="3"/>
    <row r="4"/>
    <row r="5"/>
    <row r="6"/>
    <row r="7"/>
    <row r="8"/>
    <row r="9"/>
    <row r="10"/>
    <row r="11"/>
    <row r="12"/>
    <row r="13"/>
    <row r="14"/>
    <row r="15"/>
    <row r="16"/>
    <row r="17"/>
    <row r="18"/>
    <row r="19"/>
    <row r="20">
      <c r="A20" s="1" t="s">
        <v>1</v>
      </c>
      <c r="B20" s="1" t="s">
        <v>19</v>
      </c>
      <c r="C20" s="1" t="s">
        <v>25</v>
      </c>
    </row>
    <row r="21">
      <c r="A21" t="s">
        <v>27</v>
      </c>
      <c r="B21">
        <v>3.72</v>
      </c>
      <c r="C21">
        <v>100.61333333333333</v>
      </c>
    </row>
    <row r="22">
      <c r="A22" t="s">
        <v>29</v>
      </c>
      <c r="B22">
        <v>3.692957746478873</v>
      </c>
      <c r="C22">
        <v>100.85070422535212</v>
      </c>
    </row>
  </sheetData>
  <drawing r:id="rId1"/>
</worksheet>
</file>

<file path=xl/worksheets/sheet3.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1" min="1" width="20"/>
    <col customWidth="true" max="3" min="2" width="14"/>
  </cols>
  <sheetData>
    <row r="1"/>
    <row r="2"/>
    <row r="3"/>
    <row r="4"/>
    <row r="5"/>
    <row r="6"/>
    <row r="7"/>
    <row r="8"/>
    <row r="9"/>
    <row r="10"/>
    <row r="11"/>
    <row r="12"/>
    <row r="13"/>
    <row r="14"/>
    <row r="15"/>
    <row r="16"/>
    <row r="17"/>
    <row r="18"/>
    <row r="19"/>
    <row r="20">
      <c r="A20" s="1" t="s">
        <v>1</v>
      </c>
      <c r="B20" s="1" t="s">
        <v>19</v>
      </c>
      <c r="C20" s="1" t="s">
        <v>25</v>
      </c>
    </row>
    <row r="21">
      <c r="A21" t="s">
        <v>27</v>
      </c>
      <c r="B21">
        <v>1206.578125</v>
      </c>
      <c r="C21">
        <v>11606.1015625</v>
      </c>
    </row>
    <row r="22">
      <c r="A22" t="s">
        <v>29</v>
      </c>
      <c r="B22">
        <v>1194.40625</v>
      </c>
      <c r="C22">
        <v>11606.1015625</v>
      </c>
    </row>
  </sheetData>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